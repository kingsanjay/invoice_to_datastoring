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ower BI\"/>
    </mc:Choice>
  </mc:AlternateContent>
  <xr:revisionPtr revIDLastSave="0" documentId="13_ncr:1_{0D6C56EF-3512-4425-B13C-0B275973A95C}" xr6:coauthVersionLast="47" xr6:coauthVersionMax="47" xr10:uidLastSave="{00000000-0000-0000-0000-000000000000}"/>
  <bookViews>
    <workbookView xWindow="-120" yWindow="-120" windowWidth="29040" windowHeight="16440" activeTab="1" xr2:uid="{F9C0EB0D-BAF9-448A-8208-20976716284E}"/>
  </bookViews>
  <sheets>
    <sheet name="Invoice" sheetId="1" r:id="rId1"/>
    <sheet name="Database" sheetId="5" r:id="rId2"/>
    <sheet name="Items detail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H4" i="1"/>
  <c r="H3" i="1" s="1"/>
  <c r="M23" i="1"/>
  <c r="L23" i="1" s="1"/>
  <c r="L25" i="1"/>
  <c r="A12" i="1"/>
  <c r="A13" i="1"/>
  <c r="A14" i="1"/>
  <c r="A15" i="1"/>
  <c r="A16" i="1"/>
  <c r="A17" i="1"/>
  <c r="A18" i="1"/>
  <c r="A19" i="1"/>
  <c r="A20" i="1"/>
  <c r="A11" i="1"/>
  <c r="M11" i="1" a="1"/>
  <c r="M11" i="1" s="1"/>
  <c r="M10" i="1"/>
  <c r="M9" i="1"/>
  <c r="M5" i="1"/>
  <c r="M4" i="1"/>
  <c r="M3" i="1"/>
  <c r="H19" i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G20" i="1"/>
  <c r="H20" i="1" s="1"/>
  <c r="G11" i="1"/>
  <c r="H11" i="1" s="1"/>
  <c r="H21" i="1" l="1"/>
  <c r="H23" i="1" s="1"/>
  <c r="M6" i="1"/>
  <c r="M1" i="1"/>
  <c r="M8" i="1" l="1"/>
  <c r="M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<sst xmlns="http://schemas.openxmlformats.org/spreadsheetml/2006/main" count="101" uniqueCount="63">
  <si>
    <t>KSW Technology</t>
  </si>
  <si>
    <t>Name:</t>
  </si>
  <si>
    <t>Mobile no.:</t>
  </si>
  <si>
    <t>Email:</t>
  </si>
  <si>
    <t>Address:</t>
  </si>
  <si>
    <t>No..</t>
  </si>
  <si>
    <t>Items</t>
  </si>
  <si>
    <t>Qty</t>
  </si>
  <si>
    <t>Price</t>
  </si>
  <si>
    <t>Amount</t>
  </si>
  <si>
    <t>Sub Total</t>
  </si>
  <si>
    <t>Discount</t>
  </si>
  <si>
    <t>Grand Total</t>
  </si>
  <si>
    <t>Take Your Time To Tech</t>
  </si>
  <si>
    <t>Payment Info:</t>
  </si>
  <si>
    <t xml:space="preserve">Esewa: </t>
  </si>
  <si>
    <t>A/C Name</t>
  </si>
  <si>
    <t>Sanjay Kumar Singh</t>
  </si>
  <si>
    <t>Mobile: 9863198323</t>
  </si>
  <si>
    <t>Email:  technologyksw@gmail.com</t>
  </si>
  <si>
    <t>Address: Bishnupur, Siraha, Nepal</t>
  </si>
  <si>
    <t>Website: kswtechnology.com.np</t>
  </si>
  <si>
    <t>CONTACT</t>
  </si>
  <si>
    <t>Authorize</t>
  </si>
  <si>
    <t>…................................................</t>
  </si>
  <si>
    <t xml:space="preserve">Items </t>
  </si>
  <si>
    <t>price</t>
  </si>
  <si>
    <t>Mouse m1</t>
  </si>
  <si>
    <t>mouse m2</t>
  </si>
  <si>
    <t>keyboard k1</t>
  </si>
  <si>
    <t>keyboard k5</t>
  </si>
  <si>
    <t>monitor dell l3</t>
  </si>
  <si>
    <t>zeb sound 500</t>
  </si>
  <si>
    <t>boat headset k6</t>
  </si>
  <si>
    <t>boat rockerz</t>
  </si>
  <si>
    <t>asus tuf a15</t>
  </si>
  <si>
    <t>asus tuf a17</t>
  </si>
  <si>
    <t>mouse m5 asus</t>
  </si>
  <si>
    <t>Mobile:</t>
  </si>
  <si>
    <t>Payment By:</t>
  </si>
  <si>
    <t>Save Data</t>
  </si>
  <si>
    <t>Invoice:</t>
  </si>
  <si>
    <t>Payment Mode</t>
  </si>
  <si>
    <t>Date</t>
  </si>
  <si>
    <t>Items2</t>
  </si>
  <si>
    <t>Items3</t>
  </si>
  <si>
    <t>Items4</t>
  </si>
  <si>
    <t>Items5</t>
  </si>
  <si>
    <t>Items6</t>
  </si>
  <si>
    <t>Items7</t>
  </si>
  <si>
    <t>Items8</t>
  </si>
  <si>
    <t>Items9</t>
  </si>
  <si>
    <t>Items10</t>
  </si>
  <si>
    <t>10San832345113.4863231482</t>
  </si>
  <si>
    <t>yyyy:m:dh:mm:ss;</t>
  </si>
  <si>
    <t>Invoice:  #</t>
  </si>
  <si>
    <t xml:space="preserve">Date:         </t>
  </si>
  <si>
    <t>2023761227211865</t>
  </si>
  <si>
    <t>Sanjay</t>
  </si>
  <si>
    <t>Sanjay@gmail.com</t>
  </si>
  <si>
    <t>Kathmandu, Nepal</t>
  </si>
  <si>
    <t>Cash</t>
  </si>
  <si>
    <t>202376184072342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</si>
</sst>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/d/yyyy\ h:mm:ss;"/>
    <numFmt numFmtId="166" formatCode="yyyy:m:dh:mm:ss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36"/>
      <color theme="0"/>
      <name val="Algerian"/>
      <family val="5"/>
    </font>
    <font>
      <u/>
      <sz val="11"/>
      <color theme="10"/>
      <name val="Calibri"/>
      <family val="2"/>
      <scheme val="minor"/>
    </font>
    <font>
      <sz val="16"/>
      <color theme="0"/>
      <name val="Arabic Typesetting"/>
      <family val="4"/>
      <charset val="178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medium">
        <color indexed="64"/>
      </right>
      <top/>
      <bottom style="thin">
        <color theme="7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left"/>
    </xf>
    <xf numFmtId="0" fontId="0" fillId="0" borderId="14" xfId="0" applyBorder="1" applyAlignment="1">
      <alignment horizontal="left"/>
    </xf>
    <xf numFmtId="14" fontId="0" fillId="0" borderId="14" xfId="0" applyNumberForma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1" fillId="3" borderId="15" xfId="0" applyFont="1" applyFill="1" applyBorder="1"/>
    <xf numFmtId="0" fontId="1" fillId="3" borderId="21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17" xfId="0" applyBorder="1" applyAlignment="1">
      <alignment horizontal="left"/>
    </xf>
    <xf numFmtId="0" fontId="0" fillId="0" borderId="29" xfId="0" applyBorder="1"/>
    <xf numFmtId="165" fontId="0" fillId="0" borderId="14" xfId="0" applyNumberFormat="1" applyBorder="1" applyAlignment="1">
      <alignment horizontal="left"/>
    </xf>
    <xf numFmtId="166" fontId="0" fillId="0" borderId="0" xfId="0" applyNumberFormat="1"/>
    <xf numFmtId="164" fontId="0" fillId="0" borderId="14" xfId="0" applyNumberFormat="1" applyBorder="1"/>
    <xf numFmtId="164" fontId="0" fillId="0" borderId="0" xfId="0" applyNumberFormat="1"/>
    <xf numFmtId="0" fontId="3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5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right"/>
    </xf>
    <xf numFmtId="0" fontId="0" fillId="0" borderId="0" xfId="0" applyAlignment="1">
      <alignment horizontal="right"/>
    </xf>
    <xf numFmtId="0" fontId="4" fillId="0" borderId="0" xfId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6" fillId="5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0" xfId="0" applyFont="1" applyAlignment="1">
      <alignment horizontal="center" textRotation="90"/>
    </xf>
  </cellXfs>
  <cellStyles count="2">
    <cellStyle name="Hyperlink" xfId="1" builtinId="8"/>
    <cellStyle name="Normal" xfId="0" builtinId="0"/>
  </cellStyles>
  <dxfs count="2">
    <dxf>
      <font>
        <color theme="0"/>
      </font>
      <fill>
        <patternFill>
          <bgColor theme="4"/>
        </patternFill>
      </fill>
    </dxf>
    <dxf>
      <numFmt numFmtId="164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378228</xdr:colOff>
          <xdr:row>33</xdr:row>
          <xdr:rowOff>144577</xdr:rowOff>
        </xdr:from>
        <xdr:to>
          <xdr:col>7</xdr:col>
          <xdr:colOff>369527</xdr:colOff>
          <xdr:row>35</xdr:row>
          <xdr:rowOff>68036</xdr:rowOff>
        </xdr:to>
        <xdr:pic macro="[0]!invoice_to_dataset">
          <xdr:nvPicPr>
            <xdr:cNvPr id="4" name="Picture 3">
              <a:extLst>
                <a:ext uri="{FF2B5EF4-FFF2-40B4-BE49-F238E27FC236}">
                  <a16:creationId xmlns:a16="http://schemas.microsoft.com/office/drawing/2014/main" id="{E1CEBD65-1C9A-78CD-8D30-79E6B80DC9D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F$35" spid="_x0000_s10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691442" y="6854599"/>
              <a:ext cx="2210964" cy="29765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A692BE-DA97-4928-B529-5E1CFFD8D250}" name="Table4" displayName="Table4" ref="A1:T42" totalsRowShown="0">
  <autoFilter ref="A1:T42" xr:uid="{62A692BE-DA97-4928-B529-5E1CFFD8D250}"/>
  <tableColumns count="20">
    <tableColumn id="1" xr3:uid="{E9DEFC6B-607D-47E7-8102-EC57C09046CD}" name="Invoice:"/>
    <tableColumn id="2" xr3:uid="{5BF6D92D-149B-4F19-BC4A-5B5056DDB973}" name="Name:"/>
    <tableColumn id="3" xr3:uid="{C7618D53-F901-47F8-BE63-9B2E86167883}" name="Mobile:"/>
    <tableColumn id="4" xr3:uid="{A78DF704-8964-4C2A-827C-4F6AED052214}" name="Email:"/>
    <tableColumn id="5" xr3:uid="{3841B619-D2CA-4AC3-981A-C6B53B17434E}" name="Address:"/>
    <tableColumn id="6" xr3:uid="{CA0E9D67-4A01-4D53-8FF2-3EA6975BA055}" name="Date" dataDxfId="1"/>
    <tableColumn id="7" xr3:uid="{FD091163-2B54-4F65-A706-E7B0E117BB7C}" name="Amount"/>
    <tableColumn id="8" xr3:uid="{AB5AA8B7-405A-4298-B35C-68D747BD4A54}" name="Price"/>
    <tableColumn id="9" xr3:uid="{E70F00E6-305A-4252-9E89-8478B34DC51C}" name="Discount"/>
    <tableColumn id="10" xr3:uid="{E8471481-5DA3-4F24-96A7-D309A85E4AA8}" name="Payment Mode"/>
    <tableColumn id="11" xr3:uid="{B33502D9-FD98-4232-885A-84355874CF3D}" name="Items"/>
    <tableColumn id="12" xr3:uid="{DA3170B4-DB52-4E57-B360-36701335ECC3}" name="Items2"/>
    <tableColumn id="13" xr3:uid="{97FD6A92-32B3-426A-8994-65684B68B86F}" name="Items3"/>
    <tableColumn id="14" xr3:uid="{032BD6DC-917C-413C-A35D-9365861874D2}" name="Items4"/>
    <tableColumn id="15" xr3:uid="{A588998C-0D5D-441B-860A-CB4FD84C34FC}" name="Items5"/>
    <tableColumn id="16" xr3:uid="{FF01C7B8-446E-426E-9419-C21D5E0EBD6F}" name="Items6"/>
    <tableColumn id="17" xr3:uid="{F6FF8390-8BD2-4F1C-B5E1-BC2050C0FE90}" name="Items7"/>
    <tableColumn id="18" xr3:uid="{4CFE7B04-8589-4312-81CF-364F1CF219AD}" name="Items8"/>
    <tableColumn id="19" xr3:uid="{33F59257-B303-4D08-87EF-BD6125C81499}" name="Items9"/>
    <tableColumn id="20" xr3:uid="{BA528FF9-D48A-48E2-9334-8CFCEEB22CA3}" name="Items1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86DCE-BA71-402A-B16B-04C47DF848BB}">
  <sheetPr codeName="Sheet1"/>
  <dimension ref="A1:AE41"/>
  <sheetViews>
    <sheetView showGridLines="0" zoomScale="94" zoomScaleNormal="120" workbookViewId="0">
      <selection activeCell="C5" sqref="C5:H5"/>
    </sheetView>
  </sheetViews>
  <sheetFormatPr defaultRowHeight="15" x14ac:dyDescent="0.25"/>
  <cols>
    <col min="1" max="1" width="4.42578125" customWidth="1"/>
    <col min="2" max="2" width="9" customWidth="1"/>
    <col min="3" max="3" width="17.85546875" customWidth="1"/>
    <col min="4" max="4" width="3.28515625" customWidth="1"/>
    <col min="5" max="5" width="13.7109375" customWidth="1"/>
    <col min="6" max="6" width="9.7109375" customWidth="1"/>
    <col min="7" max="7" width="9.85546875" customWidth="1"/>
    <col min="8" max="8" width="18.140625" customWidth="1"/>
    <col min="11" max="11" width="8.28515625" customWidth="1"/>
    <col min="12" max="12" width="12.7109375" hidden="1" customWidth="1"/>
    <col min="13" max="13" width="20.7109375" hidden="1" customWidth="1"/>
    <col min="14" max="31" width="9.140625" hidden="1" customWidth="1"/>
  </cols>
  <sheetData>
    <row r="1" spans="1:18" ht="51" x14ac:dyDescent="0.8">
      <c r="A1" s="24" t="s">
        <v>0</v>
      </c>
      <c r="B1" s="25"/>
      <c r="C1" s="25"/>
      <c r="D1" s="25"/>
      <c r="E1" s="25"/>
      <c r="F1" s="25"/>
      <c r="G1" s="25"/>
      <c r="H1" s="26"/>
      <c r="L1" t="s">
        <v>41</v>
      </c>
      <c r="M1" t="str">
        <f ca="1">H3</f>
        <v>2023761840191328</v>
      </c>
    </row>
    <row r="2" spans="1:18" ht="19.5" customHeight="1" x14ac:dyDescent="0.5">
      <c r="A2" s="27" t="s">
        <v>13</v>
      </c>
      <c r="B2" s="28"/>
      <c r="C2" s="28"/>
      <c r="D2" s="28"/>
      <c r="E2" s="28"/>
      <c r="F2" s="28"/>
      <c r="G2" s="28"/>
      <c r="H2" s="29"/>
      <c r="L2" t="s">
        <v>1</v>
      </c>
      <c r="M2">
        <f>C5</f>
        <v>0</v>
      </c>
      <c r="R2" t="s">
        <v>54</v>
      </c>
    </row>
    <row r="3" spans="1:18" x14ac:dyDescent="0.25">
      <c r="A3" s="2"/>
      <c r="G3" s="17" t="s">
        <v>55</v>
      </c>
      <c r="H3" s="22" t="str">
        <f ca="1">YEAR(H4)&amp;MONTH(H4)&amp;DAY(H4)&amp;HOUR(H4)&amp;MINUTE(H4)&amp;SECOND(H4)&amp;RANDBETWEEN(100,9999)</f>
        <v>2023761840191328</v>
      </c>
      <c r="L3" t="s">
        <v>38</v>
      </c>
      <c r="M3">
        <f>C6</f>
        <v>0</v>
      </c>
    </row>
    <row r="4" spans="1:18" x14ac:dyDescent="0.25">
      <c r="A4" s="2"/>
      <c r="G4" s="17" t="s">
        <v>56</v>
      </c>
      <c r="H4" s="6">
        <f ca="1">NOW()</f>
        <v>45113.777999999998</v>
      </c>
      <c r="L4" t="s">
        <v>3</v>
      </c>
      <c r="M4">
        <f>C7</f>
        <v>0</v>
      </c>
    </row>
    <row r="5" spans="1:18" x14ac:dyDescent="0.25">
      <c r="A5" s="35" t="s">
        <v>1</v>
      </c>
      <c r="B5" s="30"/>
      <c r="C5" s="30"/>
      <c r="D5" s="30"/>
      <c r="E5" s="30"/>
      <c r="F5" s="30"/>
      <c r="G5" s="30"/>
      <c r="H5" s="31"/>
      <c r="L5" t="s">
        <v>4</v>
      </c>
      <c r="M5">
        <f>C8</f>
        <v>0</v>
      </c>
    </row>
    <row r="6" spans="1:18" x14ac:dyDescent="0.25">
      <c r="A6" s="35" t="s">
        <v>2</v>
      </c>
      <c r="B6" s="30"/>
      <c r="C6" s="30"/>
      <c r="D6" s="30"/>
      <c r="E6" s="30"/>
      <c r="H6" s="3"/>
      <c r="L6" t="s">
        <v>43</v>
      </c>
      <c r="M6" s="1">
        <f ca="1">H4</f>
        <v>45113.777999999998</v>
      </c>
    </row>
    <row r="7" spans="1:18" x14ac:dyDescent="0.25">
      <c r="A7" s="35" t="s">
        <v>3</v>
      </c>
      <c r="B7" s="30"/>
      <c r="C7" s="34"/>
      <c r="D7" s="30"/>
      <c r="E7" s="30"/>
      <c r="F7" s="30"/>
      <c r="H7" s="20"/>
      <c r="L7" t="s">
        <v>9</v>
      </c>
      <c r="M7">
        <f>H23</f>
        <v>0</v>
      </c>
    </row>
    <row r="8" spans="1:18" x14ac:dyDescent="0.25">
      <c r="A8" s="35" t="s">
        <v>4</v>
      </c>
      <c r="B8" s="30"/>
      <c r="C8" s="30"/>
      <c r="D8" s="30"/>
      <c r="E8" s="30"/>
      <c r="F8" s="30"/>
      <c r="G8" s="30"/>
      <c r="H8" s="31"/>
      <c r="L8" t="s">
        <v>8</v>
      </c>
      <c r="M8">
        <f>H21</f>
        <v>0</v>
      </c>
    </row>
    <row r="9" spans="1:18" x14ac:dyDescent="0.25">
      <c r="A9" s="2"/>
      <c r="H9" s="3"/>
      <c r="L9" t="s">
        <v>11</v>
      </c>
      <c r="M9">
        <f>H22</f>
        <v>0</v>
      </c>
    </row>
    <row r="10" spans="1:18" x14ac:dyDescent="0.25">
      <c r="A10" s="13" t="s">
        <v>5</v>
      </c>
      <c r="B10" s="43" t="s">
        <v>6</v>
      </c>
      <c r="C10" s="44"/>
      <c r="D10" s="44"/>
      <c r="E10" s="45"/>
      <c r="F10" s="14" t="s">
        <v>7</v>
      </c>
      <c r="G10" s="14" t="s">
        <v>8</v>
      </c>
      <c r="H10" s="15" t="s">
        <v>9</v>
      </c>
      <c r="L10" t="s">
        <v>42</v>
      </c>
      <c r="M10">
        <f>E22</f>
        <v>0</v>
      </c>
    </row>
    <row r="11" spans="1:18" x14ac:dyDescent="0.25">
      <c r="A11" s="2" t="str">
        <f>IF(B11="","",ROW()-10)</f>
        <v/>
      </c>
      <c r="B11" s="36"/>
      <c r="C11" s="37"/>
      <c r="D11" s="37"/>
      <c r="E11" s="38"/>
      <c r="F11" s="11"/>
      <c r="G11" s="11" t="str">
        <f>IFERROR(VLOOKUP(B11,'Items details'!A2:B13,2,0),"")</f>
        <v/>
      </c>
      <c r="H11" s="5" t="str">
        <f>IFERROR(F11*G11,"")</f>
        <v/>
      </c>
      <c r="L11" t="s">
        <v>6</v>
      </c>
      <c r="M11" cm="1">
        <f t="array" ref="M11:P20">B11:E20</f>
        <v>0</v>
      </c>
      <c r="N11">
        <v>0</v>
      </c>
      <c r="O11">
        <v>0</v>
      </c>
      <c r="P11">
        <v>0</v>
      </c>
    </row>
    <row r="12" spans="1:18" x14ac:dyDescent="0.25">
      <c r="A12" s="2" t="str">
        <f t="shared" ref="A12:A20" si="0">IF(B12="","",ROW()-10)</f>
        <v/>
      </c>
      <c r="B12" s="36"/>
      <c r="C12" s="37"/>
      <c r="D12" s="37"/>
      <c r="E12" s="38"/>
      <c r="F12" s="11"/>
      <c r="G12" s="11" t="str">
        <f>IFERROR(VLOOKUP(B12,'Items details'!A3:B14,2,0),"")</f>
        <v/>
      </c>
      <c r="H12" s="5" t="str">
        <f>IFERROR(F12*G12,"")</f>
        <v/>
      </c>
      <c r="L12" t="s">
        <v>6</v>
      </c>
      <c r="M12">
        <v>0</v>
      </c>
      <c r="N12">
        <v>0</v>
      </c>
      <c r="O12">
        <v>0</v>
      </c>
      <c r="P12">
        <v>0</v>
      </c>
    </row>
    <row r="13" spans="1:18" x14ac:dyDescent="0.25">
      <c r="A13" s="2" t="str">
        <f t="shared" si="0"/>
        <v/>
      </c>
      <c r="B13" s="36"/>
      <c r="C13" s="37"/>
      <c r="D13" s="37"/>
      <c r="E13" s="38"/>
      <c r="F13" s="11"/>
      <c r="G13" s="11" t="str">
        <f>IFERROR(VLOOKUP(B13,'Items details'!A4:B15,2,0),"")</f>
        <v/>
      </c>
      <c r="H13" s="5" t="str">
        <f>IFERROR(F13*G13,"")</f>
        <v/>
      </c>
      <c r="L13" t="s">
        <v>6</v>
      </c>
      <c r="M13">
        <v>0</v>
      </c>
      <c r="N13">
        <v>0</v>
      </c>
      <c r="O13">
        <v>0</v>
      </c>
      <c r="P13">
        <v>0</v>
      </c>
    </row>
    <row r="14" spans="1:18" x14ac:dyDescent="0.25">
      <c r="A14" s="2" t="str">
        <f t="shared" si="0"/>
        <v/>
      </c>
      <c r="B14" s="36"/>
      <c r="C14" s="37"/>
      <c r="D14" s="37"/>
      <c r="E14" s="38"/>
      <c r="F14" s="11"/>
      <c r="G14" s="11" t="str">
        <f>IFERROR(VLOOKUP(B14,'Items details'!A5:B16,2,0),"")</f>
        <v/>
      </c>
      <c r="H14" s="5" t="str">
        <f>IFERROR(F14*G14,"")</f>
        <v/>
      </c>
      <c r="L14" t="s">
        <v>6</v>
      </c>
      <c r="M14">
        <v>0</v>
      </c>
      <c r="N14">
        <v>0</v>
      </c>
      <c r="O14">
        <v>0</v>
      </c>
      <c r="P14">
        <v>0</v>
      </c>
    </row>
    <row r="15" spans="1:18" x14ac:dyDescent="0.25">
      <c r="A15" s="2" t="str">
        <f t="shared" si="0"/>
        <v/>
      </c>
      <c r="B15" s="36"/>
      <c r="C15" s="37"/>
      <c r="D15" s="37"/>
      <c r="E15" s="38"/>
      <c r="F15" s="11"/>
      <c r="G15" s="11" t="str">
        <f>IFERROR(VLOOKUP(B15,'Items details'!A6:B17,2,0),"")</f>
        <v/>
      </c>
      <c r="H15" s="5" t="str">
        <f t="shared" ref="H15:H20" si="1">IFERROR(F15*G15,"")</f>
        <v/>
      </c>
      <c r="L15" t="s">
        <v>6</v>
      </c>
      <c r="M15">
        <v>0</v>
      </c>
      <c r="N15">
        <v>0</v>
      </c>
      <c r="O15">
        <v>0</v>
      </c>
      <c r="P15">
        <v>0</v>
      </c>
    </row>
    <row r="16" spans="1:18" x14ac:dyDescent="0.25">
      <c r="A16" s="2" t="str">
        <f t="shared" si="0"/>
        <v/>
      </c>
      <c r="B16" s="36"/>
      <c r="C16" s="37"/>
      <c r="D16" s="37"/>
      <c r="E16" s="38"/>
      <c r="F16" s="11"/>
      <c r="G16" s="11" t="str">
        <f>IFERROR(VLOOKUP(B16,'Items details'!A7:B18,2,0),"")</f>
        <v/>
      </c>
      <c r="H16" s="5" t="str">
        <f>IFERROR(F16*G16,"")</f>
        <v/>
      </c>
      <c r="L16" t="s">
        <v>6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 s="2" t="str">
        <f t="shared" si="0"/>
        <v/>
      </c>
      <c r="B17" s="36"/>
      <c r="C17" s="37"/>
      <c r="D17" s="37"/>
      <c r="E17" s="38"/>
      <c r="F17" s="11"/>
      <c r="G17" s="11" t="str">
        <f>IFERROR(VLOOKUP(B17,'Items details'!A8:B19,2,0),"")</f>
        <v/>
      </c>
      <c r="H17" s="5" t="str">
        <f>IFERROR(F17*G17,"")</f>
        <v/>
      </c>
      <c r="L17" t="s">
        <v>6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s="2" t="str">
        <f t="shared" si="0"/>
        <v/>
      </c>
      <c r="B18" s="36"/>
      <c r="C18" s="37"/>
      <c r="D18" s="37"/>
      <c r="E18" s="38"/>
      <c r="F18" s="11"/>
      <c r="G18" s="11" t="str">
        <f>IFERROR(VLOOKUP(B18,'Items details'!A9:B20,2,0),"")</f>
        <v/>
      </c>
      <c r="H18" s="5" t="str">
        <f t="shared" si="1"/>
        <v/>
      </c>
      <c r="L18" t="s">
        <v>6</v>
      </c>
      <c r="M18">
        <v>0</v>
      </c>
      <c r="N18">
        <v>0</v>
      </c>
      <c r="O18">
        <v>0</v>
      </c>
      <c r="P18">
        <v>0</v>
      </c>
    </row>
    <row r="19" spans="1:16" x14ac:dyDescent="0.25">
      <c r="A19" s="2" t="str">
        <f t="shared" si="0"/>
        <v/>
      </c>
      <c r="B19" s="36"/>
      <c r="C19" s="37"/>
      <c r="D19" s="37"/>
      <c r="E19" s="38"/>
      <c r="F19" s="11"/>
      <c r="G19" s="11" t="str">
        <f>IFERROR(VLOOKUP(B19,'Items details'!A10:B21,2,0),"")</f>
        <v/>
      </c>
      <c r="H19" s="5" t="str">
        <f t="shared" si="1"/>
        <v/>
      </c>
      <c r="L19" t="s">
        <v>6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 s="19" t="str">
        <f t="shared" si="0"/>
        <v/>
      </c>
      <c r="B20" s="50"/>
      <c r="C20" s="51"/>
      <c r="D20" s="51"/>
      <c r="E20" s="52"/>
      <c r="F20" s="12"/>
      <c r="G20" s="12" t="str">
        <f>IFERROR(VLOOKUP(B20,'Items details'!A11:B22,2,0),"")</f>
        <v/>
      </c>
      <c r="H20" s="18" t="str">
        <f t="shared" si="1"/>
        <v/>
      </c>
      <c r="L20" t="s">
        <v>6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 s="2"/>
      <c r="E21" t="s">
        <v>39</v>
      </c>
      <c r="F21" s="41" t="s">
        <v>10</v>
      </c>
      <c r="G21" s="42"/>
      <c r="H21" s="5">
        <f>SUM(H11:H20)</f>
        <v>0</v>
      </c>
    </row>
    <row r="22" spans="1:16" x14ac:dyDescent="0.25">
      <c r="A22" s="35" t="s">
        <v>14</v>
      </c>
      <c r="B22" s="30"/>
      <c r="F22" s="39" t="s">
        <v>11</v>
      </c>
      <c r="G22" s="40"/>
      <c r="H22" s="16"/>
      <c r="M22" s="21">
        <v>45113.492095138892</v>
      </c>
    </row>
    <row r="23" spans="1:16" x14ac:dyDescent="0.25">
      <c r="A23" s="35" t="s">
        <v>15</v>
      </c>
      <c r="B23" s="30"/>
      <c r="C23" s="4">
        <v>9863198323</v>
      </c>
      <c r="D23" s="4"/>
      <c r="F23" s="39" t="s">
        <v>12</v>
      </c>
      <c r="G23" s="40"/>
      <c r="H23" s="16">
        <f>H21-H22</f>
        <v>0</v>
      </c>
      <c r="L23" s="21">
        <f ca="1">M23</f>
        <v>45113.777999999998</v>
      </c>
      <c r="M23" s="21">
        <f ca="1">NOW()</f>
        <v>45113.777999999998</v>
      </c>
    </row>
    <row r="24" spans="1:16" x14ac:dyDescent="0.25">
      <c r="A24" s="35" t="s">
        <v>16</v>
      </c>
      <c r="B24" s="30"/>
      <c r="C24" s="30" t="s">
        <v>17</v>
      </c>
      <c r="D24" s="30"/>
      <c r="E24" s="30"/>
      <c r="H24" s="3"/>
      <c r="L24" t="s">
        <v>53</v>
      </c>
    </row>
    <row r="25" spans="1:16" x14ac:dyDescent="0.25">
      <c r="A25" s="2"/>
      <c r="H25" s="7"/>
      <c r="L25">
        <f>COUNTA(E22)</f>
        <v>0</v>
      </c>
    </row>
    <row r="26" spans="1:16" ht="15" customHeight="1" x14ac:dyDescent="0.25">
      <c r="A26" s="32" t="s">
        <v>18</v>
      </c>
      <c r="B26" s="33"/>
      <c r="C26" s="33"/>
      <c r="D26" s="53" t="s">
        <v>22</v>
      </c>
      <c r="F26" s="46" t="s">
        <v>23</v>
      </c>
      <c r="G26" s="46"/>
      <c r="H26" s="47"/>
    </row>
    <row r="27" spans="1:16" x14ac:dyDescent="0.25">
      <c r="A27" s="32" t="s">
        <v>19</v>
      </c>
      <c r="B27" s="33"/>
      <c r="C27" s="33"/>
      <c r="D27" s="53"/>
      <c r="F27" s="37" t="s">
        <v>24</v>
      </c>
      <c r="G27" s="37"/>
      <c r="H27" s="48"/>
    </row>
    <row r="28" spans="1:16" x14ac:dyDescent="0.25">
      <c r="A28" s="32" t="s">
        <v>20</v>
      </c>
      <c r="B28" s="33"/>
      <c r="C28" s="33"/>
      <c r="D28" s="53"/>
      <c r="F28" s="37"/>
      <c r="G28" s="37"/>
      <c r="H28" s="48"/>
    </row>
    <row r="29" spans="1:16" x14ac:dyDescent="0.25">
      <c r="A29" s="32" t="s">
        <v>21</v>
      </c>
      <c r="B29" s="33"/>
      <c r="C29" s="33"/>
      <c r="D29" s="53"/>
      <c r="H29" s="3"/>
    </row>
    <row r="30" spans="1:16" ht="15.75" thickBot="1" x14ac:dyDescent="0.3">
      <c r="A30" s="8"/>
      <c r="B30" s="9"/>
      <c r="C30" s="9"/>
      <c r="D30" s="9"/>
      <c r="E30" s="9"/>
      <c r="F30" s="9"/>
      <c r="G30" s="9"/>
      <c r="H30" s="10"/>
    </row>
    <row r="35" spans="6:31" x14ac:dyDescent="0.25">
      <c r="F35" s="49" t="s">
        <v>40</v>
      </c>
      <c r="G35" s="49"/>
    </row>
    <row r="39" spans="6:31" x14ac:dyDescent="0.25">
      <c r="L39" t="s">
        <v>57</v>
      </c>
      <c r="M39">
        <v>0</v>
      </c>
      <c r="N39">
        <v>0</v>
      </c>
      <c r="O39">
        <v>0</v>
      </c>
      <c r="P39">
        <v>0</v>
      </c>
      <c r="Q39">
        <v>45113.518998495369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</row>
    <row r="41" spans="6:31" x14ac:dyDescent="0.25">
      <c r="L41" t="s">
        <v>62</v>
      </c>
      <c r="M41" t="s">
        <v>58</v>
      </c>
      <c r="N41">
        <v>9863198323</v>
      </c>
      <c r="O41" t="s">
        <v>59</v>
      </c>
      <c r="P41" t="s">
        <v>60</v>
      </c>
      <c r="Q41">
        <v>45113.777864467593</v>
      </c>
      <c r="R41">
        <v>140100</v>
      </c>
      <c r="S41">
        <v>141600</v>
      </c>
      <c r="T41">
        <v>1500</v>
      </c>
      <c r="U41" t="s">
        <v>61</v>
      </c>
      <c r="V41" t="s">
        <v>29</v>
      </c>
      <c r="W41" t="s">
        <v>30</v>
      </c>
      <c r="X41" t="s">
        <v>35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</row>
  </sheetData>
  <mergeCells count="36">
    <mergeCell ref="F27:H28"/>
    <mergeCell ref="F35:G35"/>
    <mergeCell ref="B20:E20"/>
    <mergeCell ref="A5:B5"/>
    <mergeCell ref="A6:B6"/>
    <mergeCell ref="A7:B7"/>
    <mergeCell ref="A8:B8"/>
    <mergeCell ref="B14:E14"/>
    <mergeCell ref="B15:E15"/>
    <mergeCell ref="B16:E16"/>
    <mergeCell ref="B17:E17"/>
    <mergeCell ref="B18:E18"/>
    <mergeCell ref="B19:E19"/>
    <mergeCell ref="D26:D29"/>
    <mergeCell ref="A26:C26"/>
    <mergeCell ref="A28:C28"/>
    <mergeCell ref="A27:C27"/>
    <mergeCell ref="A29:C29"/>
    <mergeCell ref="C7:F7"/>
    <mergeCell ref="A24:B24"/>
    <mergeCell ref="A22:B22"/>
    <mergeCell ref="A23:B23"/>
    <mergeCell ref="C24:E24"/>
    <mergeCell ref="B11:E11"/>
    <mergeCell ref="B13:E13"/>
    <mergeCell ref="B12:E12"/>
    <mergeCell ref="F22:G22"/>
    <mergeCell ref="F21:G21"/>
    <mergeCell ref="F23:G23"/>
    <mergeCell ref="B10:E10"/>
    <mergeCell ref="F26:H26"/>
    <mergeCell ref="A1:H1"/>
    <mergeCell ref="A2:H2"/>
    <mergeCell ref="C5:H5"/>
    <mergeCell ref="C6:E6"/>
    <mergeCell ref="C8:H8"/>
  </mergeCells>
  <conditionalFormatting sqref="F35:G35">
    <cfRule type="expression" dxfId="0" priority="1">
      <formula>$L$25=1</formula>
    </cfRule>
  </conditionalFormatting>
  <dataValidations count="1">
    <dataValidation type="list" allowBlank="1" showInputMessage="1" showErrorMessage="1" sqref="E22" xr:uid="{955A92D3-EC44-4270-BC66-687CFFD78E72}">
      <formula1>"Cash, Card, UPI"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174BFF2-B2BB-4A9A-A236-C7DB5912B7A0}">
          <x14:formula1>
            <xm:f>'Items details'!$A$2:$A$12</xm:f>
          </x14:formula1>
          <xm:sqref>B11:E20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DCB98-B9B6-4627-BA23-42231771B758}">
  <sheetPr codeName="Sheet2"/>
  <dimension ref="A1:T5"/>
  <sheetViews>
    <sheetView tabSelected="1" workbookViewId="0">
      <selection activeCell="A2" sqref="A2:T2"/>
    </sheetView>
  </sheetViews>
  <sheetFormatPr defaultRowHeight="15" x14ac:dyDescent="0.25"/>
  <cols>
    <col min="1" max="1" width="17.28515625" bestFit="1" customWidth="1"/>
    <col min="3" max="3" width="11" bestFit="1" customWidth="1"/>
    <col min="4" max="4" width="46.42578125" bestFit="1" customWidth="1"/>
    <col min="5" max="5" width="13.140625" bestFit="1" customWidth="1"/>
    <col min="6" max="6" width="20.140625" style="23" bestFit="1" customWidth="1"/>
    <col min="7" max="7" width="10.42578125" bestFit="1" customWidth="1"/>
    <col min="8" max="8" width="7.7109375" bestFit="1" customWidth="1"/>
    <col min="9" max="9" width="11" bestFit="1" customWidth="1"/>
    <col min="10" max="10" width="17" bestFit="1" customWidth="1"/>
    <col min="11" max="11" width="14.140625" bestFit="1" customWidth="1"/>
    <col min="12" max="12" width="11.7109375" bestFit="1" customWidth="1"/>
    <col min="13" max="19" width="9.28515625" bestFit="1" customWidth="1"/>
    <col min="20" max="20" width="10.28515625" bestFit="1" customWidth="1"/>
  </cols>
  <sheetData>
    <row r="1" spans="1:20" x14ac:dyDescent="0.25">
      <c r="A1" t="s">
        <v>41</v>
      </c>
      <c r="B1" t="s">
        <v>1</v>
      </c>
      <c r="C1" t="s">
        <v>38</v>
      </c>
      <c r="D1" t="s">
        <v>3</v>
      </c>
      <c r="E1" t="s">
        <v>4</v>
      </c>
      <c r="F1" s="23" t="s">
        <v>43</v>
      </c>
      <c r="G1" t="s">
        <v>9</v>
      </c>
      <c r="H1" t="s">
        <v>8</v>
      </c>
      <c r="I1" t="s">
        <v>11</v>
      </c>
      <c r="J1" t="s">
        <v>42</v>
      </c>
      <c r="K1" t="s">
        <v>6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51</v>
      </c>
      <c r="T1" t="s">
        <v>52</v>
      </c>
    </row>
    <row r="2" spans="1:20" x14ac:dyDescent="0.25">
      <c r="A2" t="s">
        <v>62</v>
      </c>
      <c r="B2" t="s">
        <v>58</v>
      </c>
      <c r="C2">
        <v>9863198323</v>
      </c>
      <c r="D2" t="s">
        <v>59</v>
      </c>
      <c r="E2" t="s">
        <v>60</v>
      </c>
      <c r="F2">
        <v>45113.777864467593</v>
      </c>
      <c r="G2">
        <v>140100</v>
      </c>
      <c r="H2">
        <v>141600</v>
      </c>
      <c r="I2">
        <v>1500</v>
      </c>
      <c r="J2" t="s">
        <v>61</v>
      </c>
      <c r="K2" t="s">
        <v>29</v>
      </c>
      <c r="L2" t="s">
        <v>30</v>
      </c>
      <c r="M2" t="s">
        <v>35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25">
      <c r="F3"/>
    </row>
    <row r="4" spans="1:20" x14ac:dyDescent="0.25">
      <c r="F4"/>
    </row>
    <row r="5" spans="1:20" x14ac:dyDescent="0.25">
      <c r="F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3A4-34A7-4460-8541-30509DDF1F05}">
  <sheetPr codeName="Sheet3"/>
  <dimension ref="A1:B12"/>
  <sheetViews>
    <sheetView workbookViewId="0">
      <selection activeCell="A16" sqref="A16"/>
    </sheetView>
  </sheetViews>
  <sheetFormatPr defaultRowHeight="15" x14ac:dyDescent="0.25"/>
  <cols>
    <col min="1" max="1" width="14.140625" bestFit="1" customWidth="1"/>
  </cols>
  <sheetData>
    <row r="1" spans="1:2" x14ac:dyDescent="0.25">
      <c r="A1" t="s">
        <v>25</v>
      </c>
      <c r="B1" t="s">
        <v>26</v>
      </c>
    </row>
    <row r="2" spans="1:2" x14ac:dyDescent="0.25">
      <c r="A2" t="s">
        <v>27</v>
      </c>
      <c r="B2">
        <v>200</v>
      </c>
    </row>
    <row r="3" spans="1:2" x14ac:dyDescent="0.25">
      <c r="A3" t="s">
        <v>28</v>
      </c>
      <c r="B3">
        <v>400</v>
      </c>
    </row>
    <row r="4" spans="1:2" x14ac:dyDescent="0.25">
      <c r="A4" t="s">
        <v>29</v>
      </c>
      <c r="B4">
        <v>300</v>
      </c>
    </row>
    <row r="5" spans="1:2" x14ac:dyDescent="0.25">
      <c r="A5" t="s">
        <v>30</v>
      </c>
      <c r="B5">
        <v>1500</v>
      </c>
    </row>
    <row r="6" spans="1:2" x14ac:dyDescent="0.25">
      <c r="A6" t="s">
        <v>31</v>
      </c>
      <c r="B6">
        <v>15000</v>
      </c>
    </row>
    <row r="7" spans="1:2" x14ac:dyDescent="0.25">
      <c r="A7" t="s">
        <v>32</v>
      </c>
      <c r="B7">
        <v>4000</v>
      </c>
    </row>
    <row r="8" spans="1:2" x14ac:dyDescent="0.25">
      <c r="A8" t="s">
        <v>33</v>
      </c>
      <c r="B8">
        <v>1800</v>
      </c>
    </row>
    <row r="9" spans="1:2" x14ac:dyDescent="0.25">
      <c r="A9" t="s">
        <v>34</v>
      </c>
      <c r="B9">
        <v>2199</v>
      </c>
    </row>
    <row r="10" spans="1:2" x14ac:dyDescent="0.25">
      <c r="A10" t="s">
        <v>35</v>
      </c>
      <c r="B10">
        <v>138000</v>
      </c>
    </row>
    <row r="11" spans="1:2" x14ac:dyDescent="0.25">
      <c r="A11" t="s">
        <v>36</v>
      </c>
      <c r="B11">
        <v>152000</v>
      </c>
    </row>
    <row r="12" spans="1:2" x14ac:dyDescent="0.25">
      <c r="A12" t="s">
        <v>37</v>
      </c>
      <c r="B12">
        <v>16000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</vt:lpstr>
      <vt:lpstr>Database</vt:lpstr>
      <vt:lpstr>Items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Sanjay Kumar Singh</dc:creator>
  <cp:lastModifiedBy>Sanjay Kumar Singh</cp:lastModifiedBy>
  <cp:lastPrinted>2023-07-06T12:38:18Z</cp:lastPrinted>
  <dcterms:created xsi:type="dcterms:W3CDTF">2023-07-06T03:08:34Z</dcterms:created>
  <dcterms:modified xsi:type="dcterms:W3CDTF">2023-07-06T13:00:43Z</dcterms:modified>
</cp:coreProperties>
</file>